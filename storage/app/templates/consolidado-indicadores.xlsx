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947C654-C284-4EF9-B22E-FB9048E0C2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fi | Colombia" sheetId="9" r:id="rId1"/>
    <sheet name="Hoja 3" sheetId="12" state="hidden" r:id="rId2"/>
    <sheet name="Hoja 2" sheetId="1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7" i="9" l="1"/>
  <c r="E66" i="9"/>
  <c r="E64" i="9"/>
  <c r="E65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63" i="9"/>
  <c r="E62" i="9"/>
  <c r="I30" i="9"/>
  <c r="I29" i="9"/>
  <c r="H1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9" authorId="0" shapeId="0" xr:uid="{00000000-0006-0000-0800-000001000000}">
      <text>
        <r>
          <rPr>
            <sz val="10"/>
            <color rgb="FF000000"/>
            <rFont val="Arial"/>
            <family val="2"/>
            <scheme val="minor"/>
          </rPr>
          <t>Para medir obsolescencia, revisa:
Edad del equipo (ejemplo: &gt;5 años puede considerarse obsoleto)
Soporte oficial del fabricante (equipos fuera de soporte técnico)
Compatibilidad con versiones recientes de software
Rendimiento comparado con estándares actuales</t>
        </r>
      </text>
    </comment>
    <comment ref="C155" authorId="0" shapeId="0" xr:uid="{00000000-0006-0000-0800-000002000000}">
      <text>
        <r>
          <rPr>
            <sz val="10"/>
            <color rgb="FF000000"/>
            <rFont val="Arial"/>
            <family val="2"/>
            <scheme val="minor"/>
          </rPr>
          <t>Gastos fijos</t>
        </r>
      </text>
    </comment>
    <comment ref="D155" authorId="0" shapeId="0" xr:uid="{00000000-0006-0000-0800-000003000000}">
      <text>
        <r>
          <rPr>
            <sz val="10"/>
            <color rgb="FF000000"/>
            <rFont val="Arial"/>
            <family val="2"/>
            <scheme val="minor"/>
          </rPr>
          <t>Ventas de división</t>
        </r>
      </text>
    </comment>
    <comment ref="F155" authorId="0" shapeId="0" xr:uid="{00000000-0006-0000-0800-000004000000}">
      <text>
        <r>
          <rPr>
            <sz val="10"/>
            <color rgb="FF000000"/>
            <rFont val="Arial"/>
            <family val="2"/>
            <scheme val="minor"/>
          </rPr>
          <t>CAPEX = gastos de inversión en activos.</t>
        </r>
      </text>
    </comment>
  </commentList>
</comments>
</file>

<file path=xl/sharedStrings.xml><?xml version="1.0" encoding="utf-8"?>
<sst xmlns="http://schemas.openxmlformats.org/spreadsheetml/2006/main" count="236" uniqueCount="78">
  <si>
    <t>Consolidado de Indicadores 2026 | Tecnologías de la Información</t>
  </si>
  <si>
    <t>Servicios</t>
  </si>
  <si>
    <t>% de Tickets resueltos</t>
  </si>
  <si>
    <t>Mes</t>
  </si>
  <si>
    <t>% de Tickets Resueltos</t>
  </si>
  <si>
    <t>% Meta</t>
  </si>
  <si>
    <t>enero</t>
  </si>
  <si>
    <t>*Ajustar según aplique.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</si>
  <si>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</si>
  <si>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</si>
  <si>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</si>
  <si>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</si>
  <si>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</si>
  <si>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</si>
  <si>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</si>
  <si>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</si>
  <si>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</si>
  <si>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</si>
  <si>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</si>
  <si>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Soporte
Grado de Satisfacción</t>
  </si>
  <si>
    <t>Aplicaciones
Grado de Satisfacción</t>
  </si>
  <si>
    <t>Grado de Satisfacción</t>
  </si>
  <si>
    <t>Tipo de Ticket</t>
  </si>
  <si>
    <t>Soporte</t>
  </si>
  <si>
    <t>Aplicaciones</t>
  </si>
  <si>
    <t>Up-time de sistemas clave</t>
  </si>
  <si>
    <t>% Up-time</t>
  </si>
  <si>
    <t>Meta de Up-time</t>
  </si>
  <si>
    <t>Total</t>
  </si>
  <si>
    <t>Obsolescencia</t>
  </si>
  <si>
    <t>% Equipos obsoletos</t>
  </si>
  <si>
    <t>Meta
% Obsolesencia</t>
  </si>
  <si>
    <t>Incidencias Mayores</t>
  </si>
  <si>
    <t>Cantidad de incidencias mayores</t>
  </si>
  <si>
    <t>Transformación Digital</t>
  </si>
  <si>
    <t>Proyectos</t>
  </si>
  <si>
    <t>Nombre del proyecto</t>
  </si>
  <si>
    <t>% Avance del proyecto</t>
  </si>
  <si>
    <t>Proyecto 1</t>
  </si>
  <si>
    <t>Proyecto 2</t>
  </si>
  <si>
    <t>Proyecto 3</t>
  </si>
  <si>
    <t>Agosto</t>
  </si>
  <si>
    <t>Sep</t>
  </si>
  <si>
    <t>Octubre</t>
  </si>
  <si>
    <t>Noviembre</t>
  </si>
  <si>
    <t>Diciembre</t>
  </si>
  <si>
    <t>Ciberseguridad</t>
  </si>
  <si>
    <t>Incidentes, ataques y cursos</t>
  </si>
  <si>
    <t>Cantidad de Incidentes críticos</t>
  </si>
  <si>
    <t>Cantidad de Intentos de ataques bloqueados</t>
  </si>
  <si>
    <t>Cursos / Campañas</t>
  </si>
  <si>
    <t>Finanzas</t>
  </si>
  <si>
    <t>Financieros de TI</t>
  </si>
  <si>
    <t>Costo de TI (Opex)</t>
  </si>
  <si>
    <t>Ventas</t>
  </si>
  <si>
    <t>% Costo / Ventas</t>
  </si>
  <si>
    <t>Inversión CAPEX para Resolver Obsolescencia</t>
  </si>
  <si>
    <t>Hechos Relevantes</t>
  </si>
  <si>
    <t>*Validar formula</t>
  </si>
  <si>
    <t>*No aplica para confipetrol.</t>
  </si>
  <si>
    <t>Justificación</t>
  </si>
  <si>
    <r>
      <rPr>
        <b/>
        <sz val="13"/>
        <color theme="1"/>
        <rFont val="Helvetica Neue"/>
      </rPr>
      <t>País:</t>
    </r>
    <r>
      <rPr>
        <sz val="13"/>
        <color theme="1"/>
        <rFont val="Helvetica Neue"/>
      </rPr>
      <t xml:space="preserve"> Colombia</t>
    </r>
  </si>
  <si>
    <t>90.48%</t>
  </si>
  <si>
    <t>90.12%</t>
  </si>
  <si>
    <t>88.75%</t>
  </si>
  <si>
    <t>83.75%</t>
  </si>
  <si>
    <t>90.21%</t>
  </si>
  <si>
    <t>91.63%</t>
  </si>
  <si>
    <t>92.46%</t>
  </si>
  <si>
    <t>93.51%</t>
  </si>
  <si>
    <t>Consolidado de Indicadores</t>
  </si>
  <si>
    <t>Apartado</t>
  </si>
  <si>
    <t>Indicador</t>
  </si>
  <si>
    <t>Métrica</t>
  </si>
  <si>
    <t>Tipo de dato</t>
  </si>
  <si>
    <t>Cantidad de tickets resueltos</t>
  </si>
  <si>
    <t>Número de tickets resueltos</t>
  </si>
  <si>
    <t>Número entero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</si>
</sst>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8">
    <font>
      <sz val="10"/>
      <color rgb="FF000000"/>
      <name val="Arial"/>
      <scheme val="minor"/>
    </font>
    <font>
      <sz val="10"/>
      <color theme="1"/>
      <name val="Helvetica Neue"/>
    </font>
    <font>
      <b/>
      <sz val="19"/>
      <color theme="1"/>
      <name val="Helvetica Neue"/>
    </font>
    <font>
      <b/>
      <sz val="14"/>
      <color rgb="FFFFFFFF"/>
      <name val="Helvetica Neue"/>
    </font>
    <font>
      <b/>
      <sz val="10"/>
      <color theme="1"/>
      <name val="Helvetica Neue"/>
    </font>
    <font>
      <b/>
      <sz val="10"/>
      <color rgb="FFFFFFFF"/>
      <name val="Helvetica Neue"/>
    </font>
    <font>
      <sz val="10"/>
      <name val="Arial"/>
      <family val="2"/>
    </font>
    <font>
      <b/>
      <sz val="10"/>
      <color rgb="FFFF0000"/>
      <name val="Helvetica Neue"/>
    </font>
    <font>
      <sz val="9"/>
      <color theme="1"/>
      <name val="Arial"/>
      <family val="2"/>
    </font>
    <font>
      <sz val="9"/>
      <color rgb="FFFFFFFF"/>
      <name val="Helvetica Neue"/>
    </font>
    <font>
      <sz val="9"/>
      <color theme="1"/>
      <name val="Helvetica Neue"/>
    </font>
    <font>
      <sz val="13"/>
      <color theme="1"/>
      <name val="Helvetica Neue"/>
    </font>
    <font>
      <b/>
      <sz val="13"/>
      <color theme="1"/>
      <name val="Helvetica Neue"/>
    </font>
    <font>
      <b/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000000"/>
      <name val="Helvetica Neue"/>
      <charset val="1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1155CC"/>
        <bgColor rgb="FF1155CC"/>
      </patternFill>
    </fill>
  </fills>
  <borders count="34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7" fillId="0" borderId="0" xfId="0" applyFont="1"/>
    <xf numFmtId="0" fontId="1" fillId="0" borderId="7" xfId="0" applyFont="1" applyBorder="1"/>
    <xf numFmtId="9" fontId="1" fillId="0" borderId="8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1" fillId="0" borderId="11" xfId="0" applyFont="1" applyBorder="1"/>
    <xf numFmtId="0" fontId="10" fillId="0" borderId="12" xfId="0" applyFont="1" applyBorder="1" applyAlignment="1">
      <alignment horizontal="left" vertical="center"/>
    </xf>
    <xf numFmtId="9" fontId="10" fillId="0" borderId="12" xfId="0" applyNumberFormat="1" applyFont="1" applyBorder="1" applyAlignment="1">
      <alignment horizontal="center" vertical="center"/>
    </xf>
    <xf numFmtId="0" fontId="1" fillId="0" borderId="13" xfId="0" applyFont="1" applyBorder="1"/>
    <xf numFmtId="9" fontId="1" fillId="0" borderId="14" xfId="0" applyNumberFormat="1" applyFont="1" applyBorder="1" applyAlignment="1">
      <alignment horizontal="center"/>
    </xf>
    <xf numFmtId="9" fontId="1" fillId="0" borderId="15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4" xfId="0" applyFont="1" applyBorder="1"/>
    <xf numFmtId="0" fontId="1" fillId="0" borderId="15" xfId="0" applyFont="1" applyBorder="1"/>
    <xf numFmtId="0" fontId="4" fillId="0" borderId="22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24" xfId="0" applyFont="1" applyBorder="1"/>
    <xf numFmtId="0" fontId="1" fillId="0" borderId="25" xfId="0" applyFont="1" applyBorder="1" applyAlignment="1">
      <alignment horizontal="center"/>
    </xf>
    <xf numFmtId="0" fontId="4" fillId="0" borderId="27" xfId="0" applyFont="1" applyBorder="1" applyAlignment="1">
      <alignment vertical="center"/>
    </xf>
    <xf numFmtId="0" fontId="11" fillId="0" borderId="0" xfId="0" applyFont="1"/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13" fillId="0" borderId="0" xfId="0" applyFont="1"/>
    <xf numFmtId="0" fontId="1" fillId="0" borderId="30" xfId="0" applyFont="1" applyBorder="1" applyAlignment="1">
      <alignment horizontal="center"/>
    </xf>
    <xf numFmtId="0" fontId="1" fillId="0" borderId="30" xfId="0" applyFont="1" applyBorder="1"/>
    <xf numFmtId="0" fontId="1" fillId="0" borderId="28" xfId="0" applyFont="1" applyBorder="1"/>
    <xf numFmtId="0" fontId="14" fillId="0" borderId="0" xfId="0" applyFont="1"/>
    <xf numFmtId="0" fontId="14" fillId="0" borderId="12" xfId="0" applyFont="1" applyBorder="1" applyAlignment="1">
      <alignment horizontal="center"/>
    </xf>
    <xf numFmtId="0" fontId="16" fillId="0" borderId="8" xfId="0" applyFont="1" applyBorder="1" applyAlignment="1">
      <alignment readingOrder="1"/>
    </xf>
    <xf numFmtId="0" fontId="16" fillId="0" borderId="32" xfId="0" applyFont="1" applyBorder="1" applyAlignment="1">
      <alignment readingOrder="1"/>
    </xf>
    <xf numFmtId="0" fontId="16" fillId="0" borderId="24" xfId="0" applyFont="1" applyBorder="1" applyAlignment="1">
      <alignment readingOrder="1"/>
    </xf>
    <xf numFmtId="0" fontId="16" fillId="0" borderId="33" xfId="0" applyFont="1" applyBorder="1" applyAlignment="1">
      <alignment readingOrder="1"/>
    </xf>
    <xf numFmtId="165" fontId="1" fillId="0" borderId="8" xfId="0" applyNumberFormat="1" applyFont="1" applyBorder="1" applyAlignment="1">
      <alignment horizontal="center"/>
    </xf>
    <xf numFmtId="10" fontId="1" fillId="0" borderId="8" xfId="0" applyNumberFormat="1" applyFont="1" applyBorder="1" applyAlignment="1">
      <alignment horizontal="left"/>
    </xf>
    <xf numFmtId="0" fontId="3" fillId="2" borderId="0" xfId="0" applyFont="1" applyFill="1"/>
    <xf numFmtId="0" fontId="0" fillId="0" borderId="0" xfId="0"/>
    <xf numFmtId="0" fontId="1" fillId="0" borderId="19" xfId="0" applyFont="1" applyBorder="1" applyAlignment="1">
      <alignment horizontal="center" vertical="center"/>
    </xf>
    <xf numFmtId="0" fontId="6" fillId="0" borderId="23" xfId="0" applyFont="1" applyBorder="1"/>
    <xf numFmtId="0" fontId="6" fillId="0" borderId="7" xfId="0" applyFont="1" applyBorder="1"/>
    <xf numFmtId="0" fontId="6" fillId="0" borderId="26" xfId="0" applyFont="1" applyBorder="1"/>
    <xf numFmtId="0" fontId="5" fillId="3" borderId="1" xfId="0" applyFont="1" applyFill="1" applyBorder="1"/>
    <xf numFmtId="0" fontId="6" fillId="0" borderId="2" xfId="0" applyFont="1" applyBorder="1"/>
    <xf numFmtId="0" fontId="6" fillId="0" borderId="3" xfId="0" applyFont="1" applyBorder="1"/>
    <xf numFmtId="0" fontId="1" fillId="0" borderId="23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/>
    </xf>
    <xf numFmtId="0" fontId="6" fillId="0" borderId="18" xfId="0" applyFont="1" applyBorder="1"/>
    <xf numFmtId="0" fontId="1" fillId="0" borderId="0" xfId="0" applyFont="1"/>
    <xf numFmtId="0" fontId="2" fillId="0" borderId="0" xfId="0" applyFont="1"/>
    <xf numFmtId="0" fontId="9" fillId="3" borderId="10" xfId="0" applyFont="1" applyFill="1" applyBorder="1" applyAlignment="1">
      <alignment horizontal="left" vertical="center"/>
    </xf>
    <xf numFmtId="0" fontId="6" fillId="0" borderId="16" xfId="0" applyFont="1" applyBorder="1"/>
    <xf numFmtId="0" fontId="15" fillId="2" borderId="10" xfId="0" applyFont="1" applyFill="1" applyBorder="1" applyAlignment="1">
      <alignment horizontal="center"/>
    </xf>
    <xf numFmtId="0" fontId="6" fillId="0" borderId="3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'Confi | Colombia'!$H$28:$H$30</c:f>
              <c:strCache>
                <c:ptCount val="3"/>
                <c:pt idx="0">
                  <c:v>Tipo de Ticket</c:v>
                </c:pt>
                <c:pt idx="1">
                  <c:v>Soporte</c:v>
                </c:pt>
                <c:pt idx="2">
                  <c:v>Aplicaciones</c:v>
                </c:pt>
              </c:strCache>
            </c:strRef>
          </c:cat>
          <c:val>
            <c:numRef>
              <c:f>'Confi | Colombia'!$I$28:$I$30</c:f>
              <c:numCache>
                <c:formatCode>0%</c:formatCode>
                <c:ptCount val="3"/>
                <c:pt idx="0" formatCode="General">
                  <c:v>0</c:v>
                </c:pt>
                <c:pt idx="1">
                  <c:v>0.95309999999999995</c:v>
                </c:pt>
                <c:pt idx="2">
                  <c:v>0.95420000000000005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5-421B-8394-795B914F8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5362550"/>
        <c:axId val="1816248128"/>
      </c:barChart>
      <c:catAx>
        <c:axId val="905362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800" b="1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816248128"/>
        <c:crosses val="autoZero"/>
        <c:auto val="1"/>
        <c:lblAlgn val="ctr"/>
        <c:lblOffset val="100"/>
        <c:noMultiLvlLbl val="1"/>
      </c:catAx>
      <c:valAx>
        <c:axId val="1816248128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9053625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25</xdr:row>
      <xdr:rowOff>85725</xdr:rowOff>
    </xdr:from>
    <xdr:ext cx="4238625" cy="2819400"/>
    <xdr:graphicFrame macro="">
      <xdr:nvGraphicFramePr>
        <xdr:cNvPr id="9" name="Chart 9" title="Gráfico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962025" cy="1619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25</xdr:row>
      <xdr:rowOff>9525</xdr:rowOff>
    </xdr:from>
    <xdr:ext cx="8105775" cy="4848225"/>
    <xdr:pic>
      <xdr:nvPicPr>
        <xdr:cNvPr id="2" name="image4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49</xdr:row>
      <xdr:rowOff>200025</xdr:rowOff>
    </xdr:from>
    <xdr:ext cx="7553325" cy="380047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2</xdr:row>
      <xdr:rowOff>123825</xdr:rowOff>
    </xdr:from>
    <xdr:ext cx="8010525" cy="4248150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184"/>
  <sheetViews>
    <sheetView showGridLines="0" tabSelected="1" topLeftCell="A165" workbookViewId="0">
      <selection activeCell="F15" sqref="F15"/>
    </sheetView>
  </sheetViews>
  <sheetFormatPr baseColWidth="10" defaultColWidth="12.5546875" defaultRowHeight="15.75" customHeight="1"/>
  <cols>
    <col min="1" max="1" width="2.44140625" customWidth="1"/>
    <col min="3" max="3" width="27.44140625" customWidth="1"/>
    <col min="4" max="4" width="36.5546875" customWidth="1"/>
    <col min="5" max="5" width="31.44140625" customWidth="1"/>
    <col min="6" max="6" width="38.21875" customWidth="1"/>
    <col min="7" max="7" width="16.44140625" customWidth="1"/>
    <col min="8" max="8" width="16.77734375" customWidth="1"/>
    <col min="9" max="9" width="25.44140625" customWidth="1"/>
    <col min="10" max="10" width="17.5546875" customWidth="1"/>
  </cols>
  <sheetData>
    <row r="1" spans="1:25" ht="13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2">
      <c r="A2" s="1"/>
      <c r="B2" s="73"/>
      <c r="C2" s="62"/>
      <c r="D2" s="62"/>
      <c r="E2" s="62"/>
      <c r="F2" s="6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2">
      <c r="A3" s="1"/>
      <c r="B3" s="62"/>
      <c r="C3" s="62"/>
      <c r="D3" s="62"/>
      <c r="E3" s="62"/>
      <c r="F3" s="6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2">
      <c r="A4" s="1"/>
      <c r="B4" s="62"/>
      <c r="C4" s="62"/>
      <c r="D4" s="62"/>
      <c r="E4" s="62"/>
      <c r="F4" s="6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4">
      <c r="A6" s="1"/>
      <c r="B6" s="74" t="s">
        <v>0</v>
      </c>
      <c r="C6" s="62"/>
      <c r="D6" s="62"/>
      <c r="E6" s="62"/>
      <c r="F6" s="62"/>
      <c r="G6" s="62"/>
      <c r="H6" s="62"/>
      <c r="I6" s="62"/>
      <c r="J6" s="6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8">
      <c r="A7" s="1"/>
      <c r="B7" s="45" t="s">
        <v>61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7.399999999999999">
      <c r="A9" s="1"/>
      <c r="B9" s="61" t="s">
        <v>1</v>
      </c>
      <c r="C9" s="62"/>
      <c r="D9" s="62"/>
      <c r="E9" s="62"/>
      <c r="F9" s="62"/>
      <c r="G9" s="62"/>
      <c r="H9" s="62"/>
      <c r="I9" s="62"/>
      <c r="J9" s="6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3.2">
      <c r="A10" s="1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2">
      <c r="A11" s="1"/>
      <c r="B11" s="67" t="s">
        <v>2</v>
      </c>
      <c r="C11" s="68"/>
      <c r="D11" s="68"/>
      <c r="E11" s="68"/>
      <c r="F11" s="68"/>
      <c r="G11" s="68"/>
      <c r="H11" s="68"/>
      <c r="I11" s="68"/>
      <c r="J11" s="6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2">
      <c r="A12" s="1"/>
      <c r="B12" s="1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5" ht="13.2">
      <c r="A13" s="1"/>
      <c r="B13" s="39" t="s">
        <v>3</v>
      </c>
      <c r="C13" s="40" t="s">
        <v>4</v>
      </c>
      <c r="D13" s="41" t="s">
        <v>5</v>
      </c>
      <c r="E13" s="1"/>
      <c r="F13" s="1"/>
      <c r="G13" s="1"/>
      <c r="H13" s="1"/>
      <c r="I13" s="1"/>
      <c r="J13" s="1"/>
      <c r="K13" s="1"/>
      <c r="L13" s="1"/>
      <c r="M13" s="1"/>
    </row>
    <row r="14" spans="1:25" ht="13.2">
      <c r="A14" s="1"/>
      <c r="B14" s="6" t="s">
        <v>6</v>
      </c>
      <c r="C14" s="7">
        <v>0.97</v>
      </c>
      <c r="D14" s="8">
        <v>0.95</v>
      </c>
      <c r="E14" s="1"/>
      <c r="F14" s="1"/>
      <c r="G14" s="9" t="s">
        <v>7</v>
      </c>
      <c r="H14" s="10" t="s">
        <v>4</v>
      </c>
      <c r="I14" s="1"/>
      <c r="J14" s="1"/>
      <c r="K14" s="1"/>
      <c r="L14" s="1"/>
      <c r="M14" s="1"/>
    </row>
    <row r="15" spans="1:25" ht="13.2">
      <c r="A15" s="1"/>
      <c r="B15" s="11" t="s">
        <v>8</v>
      </c>
      <c r="C15" s="7">
        <v>0.98</v>
      </c>
      <c r="D15" s="8">
        <v>0.95</v>
      </c>
      <c r="E15" s="1"/>
      <c r="F15" s="1"/>
      <c r="G15" s="12" t="s">
        <v>13</v>
      </c>
      <c r="H15" s="13">
        <f>VLOOKUP(G15,B13:D25,2,0)</f>
        <v>0.98899999999999999</v>
      </c>
      <c r="I15" s="1"/>
      <c r="J15" s="1"/>
      <c r="K15" s="1"/>
      <c r="L15" s="1"/>
      <c r="M15" s="1"/>
    </row>
    <row r="16" spans="1:25" ht="13.2">
      <c r="A16" s="1"/>
      <c r="B16" s="11" t="s">
        <v>9</v>
      </c>
      <c r="C16" s="59">
        <v>0.98799999999999999</v>
      </c>
      <c r="D16" s="8">
        <v>0.95</v>
      </c>
      <c r="E16" s="1"/>
      <c r="F16" s="1"/>
      <c r="G16" s="1"/>
      <c r="H16" s="1"/>
      <c r="I16" s="1"/>
      <c r="J16" s="1"/>
      <c r="K16" s="1"/>
      <c r="L16" s="1"/>
      <c r="M16" s="1"/>
    </row>
    <row r="17" spans="1:19" ht="13.2">
      <c r="A17" s="1"/>
      <c r="B17" s="11" t="s">
        <v>10</v>
      </c>
      <c r="C17" s="59">
        <v>0.98699999999999999</v>
      </c>
      <c r="D17" s="8">
        <v>0.95</v>
      </c>
      <c r="E17" s="1"/>
      <c r="F17" s="1"/>
      <c r="G17" s="1"/>
      <c r="H17" s="1"/>
      <c r="I17" s="1"/>
      <c r="J17" s="1"/>
      <c r="K17" s="1"/>
      <c r="L17" s="1"/>
      <c r="M17" s="1"/>
    </row>
    <row r="18" spans="1:19" ht="13.2">
      <c r="A18" s="1"/>
      <c r="B18" s="11" t="s">
        <v>11</v>
      </c>
      <c r="C18" s="59">
        <v>0.98799999999999999</v>
      </c>
      <c r="D18" s="8">
        <v>0.95</v>
      </c>
      <c r="E18" s="1"/>
      <c r="F18" s="1"/>
      <c r="G18" s="1"/>
      <c r="H18" s="1"/>
      <c r="I18" s="1"/>
      <c r="J18" s="1"/>
      <c r="K18" s="1"/>
      <c r="L18" s="1"/>
      <c r="M18" s="1"/>
    </row>
    <row r="19" spans="1:19" ht="13.2">
      <c r="A19" s="1"/>
      <c r="B19" s="11" t="s">
        <v>12</v>
      </c>
      <c r="C19" s="59">
        <v>0.98599999999999999</v>
      </c>
      <c r="D19" s="8">
        <v>0.95</v>
      </c>
      <c r="E19" s="1"/>
      <c r="F19" s="1"/>
      <c r="G19" s="1"/>
      <c r="H19" s="1"/>
      <c r="I19" s="1"/>
      <c r="J19" s="1"/>
      <c r="K19" s="1"/>
      <c r="L19" s="1"/>
      <c r="M19" s="1"/>
    </row>
    <row r="20" spans="1:19" ht="13.2">
      <c r="A20" s="1"/>
      <c r="B20" s="11" t="s">
        <v>13</v>
      </c>
      <c r="C20" s="59">
        <v>0.98899999999999999</v>
      </c>
      <c r="D20" s="8">
        <v>0.95</v>
      </c>
      <c r="E20" s="1"/>
      <c r="F20" s="1"/>
      <c r="G20" s="1"/>
      <c r="H20" s="1"/>
      <c r="I20" s="1"/>
      <c r="J20" s="1"/>
      <c r="K20" s="1"/>
      <c r="L20" s="1"/>
      <c r="M20" s="1"/>
    </row>
    <row r="21" spans="1:19" ht="13.2">
      <c r="A21" s="1"/>
      <c r="B21" s="11" t="s">
        <v>14</v>
      </c>
      <c r="C21" s="7">
        <v>0.97</v>
      </c>
      <c r="D21" s="8"/>
      <c r="E21" s="1"/>
      <c r="F21" s="1"/>
      <c r="G21" s="1"/>
      <c r="H21" s="1"/>
      <c r="I21" s="1"/>
      <c r="J21" s="1"/>
      <c r="K21" s="1"/>
      <c r="L21" s="1"/>
      <c r="M21" s="1"/>
    </row>
    <row r="22" spans="1:19" ht="13.2">
      <c r="A22" s="1"/>
      <c r="B22" s="11" t="s">
        <v>15</v>
      </c>
      <c r="C22" s="7"/>
      <c r="D22" s="8"/>
      <c r="E22" s="1"/>
      <c r="F22" s="1"/>
      <c r="G22" s="1"/>
      <c r="H22" s="1"/>
      <c r="I22" s="1"/>
      <c r="J22" s="1"/>
      <c r="K22" s="1"/>
      <c r="L22" s="1"/>
      <c r="M22" s="1"/>
    </row>
    <row r="23" spans="1:19" ht="13.2">
      <c r="A23" s="1"/>
      <c r="B23" s="11" t="s">
        <v>16</v>
      </c>
      <c r="C23" s="7"/>
      <c r="D23" s="8"/>
      <c r="E23" s="1"/>
      <c r="F23" s="1"/>
      <c r="G23" s="1"/>
      <c r="H23" s="1"/>
      <c r="I23" s="1"/>
      <c r="J23" s="1"/>
      <c r="K23" s="1"/>
      <c r="L23" s="1"/>
      <c r="M23" s="1"/>
    </row>
    <row r="24" spans="1:19" ht="13.2">
      <c r="A24" s="1"/>
      <c r="B24" s="11" t="s">
        <v>17</v>
      </c>
      <c r="C24" s="7"/>
      <c r="D24" s="8"/>
      <c r="E24" s="1"/>
      <c r="F24" s="1"/>
      <c r="G24" s="1"/>
      <c r="H24" s="1"/>
      <c r="I24" s="1"/>
      <c r="J24" s="1"/>
      <c r="K24" s="1"/>
      <c r="L24" s="1"/>
      <c r="M24" s="1"/>
    </row>
    <row r="25" spans="1:19" ht="13.2">
      <c r="A25" s="1"/>
      <c r="B25" s="14" t="s">
        <v>18</v>
      </c>
      <c r="C25" s="15"/>
      <c r="D25" s="16"/>
      <c r="E25" s="1"/>
      <c r="F25" s="1"/>
      <c r="G25" s="1"/>
      <c r="H25" s="1"/>
      <c r="I25" s="1"/>
      <c r="J25" s="1"/>
      <c r="K25" s="1"/>
      <c r="L25" s="1"/>
      <c r="M25" s="1"/>
    </row>
    <row r="26" spans="1:19" ht="13.2">
      <c r="A26" s="1"/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9" ht="13.2">
      <c r="A27" s="1"/>
      <c r="B27" s="39" t="s">
        <v>3</v>
      </c>
      <c r="C27" s="40" t="s">
        <v>19</v>
      </c>
      <c r="D27" s="40" t="s">
        <v>20</v>
      </c>
      <c r="E27" s="41" t="s">
        <v>5</v>
      </c>
      <c r="F27" s="1"/>
      <c r="G27" s="9" t="s">
        <v>7</v>
      </c>
      <c r="H27" s="75" t="s">
        <v>21</v>
      </c>
      <c r="I27" s="76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3.2">
      <c r="A28" s="1"/>
      <c r="B28" s="17" t="s">
        <v>6</v>
      </c>
      <c r="C28" s="55" t="s">
        <v>62</v>
      </c>
      <c r="D28" s="56" t="s">
        <v>63</v>
      </c>
      <c r="E28" s="8">
        <v>0.95</v>
      </c>
      <c r="F28" s="1"/>
      <c r="G28" s="12" t="s">
        <v>3</v>
      </c>
      <c r="H28" s="12" t="s">
        <v>22</v>
      </c>
      <c r="I28" s="12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3.2">
      <c r="A29" s="1"/>
      <c r="B29" s="17" t="s">
        <v>8</v>
      </c>
      <c r="C29" s="57" t="s">
        <v>64</v>
      </c>
      <c r="D29" s="58" t="s">
        <v>65</v>
      </c>
      <c r="E29" s="8">
        <v>0.95</v>
      </c>
      <c r="F29" s="1"/>
      <c r="G29" s="71" t="s">
        <v>13</v>
      </c>
      <c r="H29" s="12" t="s">
        <v>23</v>
      </c>
      <c r="I29" s="13">
        <f>VLOOKUP(G29,$B$27:$E$39,2,0)</f>
        <v>0.95309999999999995</v>
      </c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3.2">
      <c r="A30" s="1"/>
      <c r="B30" s="17" t="s">
        <v>9</v>
      </c>
      <c r="C30" s="57" t="s">
        <v>66</v>
      </c>
      <c r="D30" s="58" t="s">
        <v>67</v>
      </c>
      <c r="E30" s="8">
        <v>0.95</v>
      </c>
      <c r="F30" s="1"/>
      <c r="G30" s="72"/>
      <c r="H30" s="12" t="s">
        <v>24</v>
      </c>
      <c r="I30" s="13">
        <f>VLOOKUP(G29,$B$27:$E$39,3,0)</f>
        <v>0.95420000000000005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3.2">
      <c r="A31" s="1"/>
      <c r="B31" s="17" t="s">
        <v>10</v>
      </c>
      <c r="C31" s="57" t="s">
        <v>68</v>
      </c>
      <c r="D31" s="58" t="s">
        <v>69</v>
      </c>
      <c r="E31" s="8">
        <v>0.95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3.2">
      <c r="A32" s="1"/>
      <c r="B32" s="17" t="s">
        <v>11</v>
      </c>
      <c r="C32" s="60">
        <v>0.93500000000000005</v>
      </c>
      <c r="D32" s="60">
        <v>0.94640000000000002</v>
      </c>
      <c r="E32" s="8">
        <v>0.95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25" ht="13.2">
      <c r="A33" s="1"/>
      <c r="B33" s="17" t="s">
        <v>12</v>
      </c>
      <c r="C33" s="60">
        <v>0.94199999999999995</v>
      </c>
      <c r="D33" s="60">
        <v>0.94730000000000003</v>
      </c>
      <c r="E33" s="8">
        <v>0.95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25" ht="13.2">
      <c r="A34" s="1"/>
      <c r="B34" s="17" t="s">
        <v>13</v>
      </c>
      <c r="C34" s="60">
        <v>0.95309999999999995</v>
      </c>
      <c r="D34" s="60">
        <v>0.95420000000000005</v>
      </c>
      <c r="E34" s="8">
        <v>0.95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25" ht="13.2">
      <c r="A35" s="1"/>
      <c r="B35" s="17" t="s">
        <v>14</v>
      </c>
      <c r="C35" s="7"/>
      <c r="D35" s="7"/>
      <c r="E35" s="8">
        <v>0.95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25" ht="13.2">
      <c r="A36" s="1"/>
      <c r="B36" s="17" t="s">
        <v>15</v>
      </c>
      <c r="C36" s="7"/>
      <c r="D36" s="7"/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25" ht="14.25" customHeight="1">
      <c r="A37" s="1"/>
      <c r="B37" s="17" t="s">
        <v>16</v>
      </c>
      <c r="C37" s="7"/>
      <c r="D37" s="7"/>
      <c r="E37" s="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25" ht="14.25" customHeight="1">
      <c r="A38" s="1"/>
      <c r="B38" s="17" t="s">
        <v>17</v>
      </c>
      <c r="C38" s="7"/>
      <c r="D38" s="7"/>
      <c r="E38" s="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25" ht="14.25" customHeight="1">
      <c r="A39" s="1"/>
      <c r="B39" s="20" t="s">
        <v>18</v>
      </c>
      <c r="C39" s="15"/>
      <c r="D39" s="15"/>
      <c r="E39" s="1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25" ht="13.2">
      <c r="A40" s="1"/>
      <c r="B40" s="1"/>
      <c r="C40" s="1"/>
      <c r="D40" s="23"/>
      <c r="E40" s="2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25" ht="13.2">
      <c r="A41" s="1"/>
      <c r="B41" s="67" t="s">
        <v>25</v>
      </c>
      <c r="C41" s="68"/>
      <c r="D41" s="68"/>
      <c r="E41" s="68"/>
      <c r="F41" s="68"/>
      <c r="G41" s="68"/>
      <c r="H41" s="68"/>
      <c r="I41" s="68"/>
      <c r="J41" s="6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3.2">
      <c r="A42" s="1"/>
      <c r="B42" s="1" t="s">
        <v>58</v>
      </c>
      <c r="C42" s="5"/>
      <c r="D42" s="1"/>
      <c r="E42" s="1"/>
      <c r="F42" s="1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>
      <c r="A43" s="1"/>
      <c r="B43" s="24" t="s">
        <v>3</v>
      </c>
      <c r="C43" s="25" t="s">
        <v>26</v>
      </c>
      <c r="D43" s="26" t="s">
        <v>27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2">
      <c r="A44" s="1"/>
      <c r="B44" s="17" t="s">
        <v>6</v>
      </c>
      <c r="C44" s="27">
        <v>87</v>
      </c>
      <c r="D44" s="28">
        <v>95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2">
      <c r="A45" s="1"/>
      <c r="B45" s="17" t="s">
        <v>8</v>
      </c>
      <c r="C45" s="27">
        <v>88</v>
      </c>
      <c r="D45" s="28">
        <v>95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2">
      <c r="A46" s="1"/>
      <c r="B46" s="17" t="s">
        <v>9</v>
      </c>
      <c r="C46" s="27">
        <v>87</v>
      </c>
      <c r="D46" s="28">
        <v>95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>
      <c r="A47" s="1"/>
      <c r="B47" s="17" t="s">
        <v>10</v>
      </c>
      <c r="C47" s="27">
        <v>93</v>
      </c>
      <c r="D47" s="28">
        <v>95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>
      <c r="A48" s="1"/>
      <c r="B48" s="17" t="s">
        <v>11</v>
      </c>
      <c r="C48" s="27">
        <v>94</v>
      </c>
      <c r="D48" s="28">
        <v>95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2">
      <c r="A49" s="1"/>
      <c r="B49" s="17" t="s">
        <v>12</v>
      </c>
      <c r="C49" s="27">
        <v>96</v>
      </c>
      <c r="D49" s="28">
        <v>95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2">
      <c r="A50" s="1"/>
      <c r="B50" s="17" t="s">
        <v>13</v>
      </c>
      <c r="C50" s="27">
        <v>97</v>
      </c>
      <c r="D50" s="28">
        <v>95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2">
      <c r="A51" s="1"/>
      <c r="B51" s="17" t="s">
        <v>14</v>
      </c>
      <c r="C51" s="27"/>
      <c r="D51" s="2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2">
      <c r="A52" s="1"/>
      <c r="B52" s="17" t="s">
        <v>15</v>
      </c>
      <c r="C52" s="27"/>
      <c r="D52" s="2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>
      <c r="A53" s="1"/>
      <c r="B53" s="17" t="s">
        <v>16</v>
      </c>
      <c r="C53" s="27"/>
      <c r="D53" s="2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2">
      <c r="A54" s="1"/>
      <c r="B54" s="17" t="s">
        <v>17</v>
      </c>
      <c r="C54" s="27"/>
      <c r="D54" s="2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2">
      <c r="A55" s="1"/>
      <c r="B55" s="29" t="s">
        <v>18</v>
      </c>
      <c r="C55" s="30"/>
      <c r="D55" s="3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2">
      <c r="A56" s="1"/>
      <c r="B56" s="20" t="s">
        <v>28</v>
      </c>
      <c r="C56" s="32"/>
      <c r="D56" s="3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2">
      <c r="A59" s="1"/>
      <c r="B59" s="67" t="s">
        <v>29</v>
      </c>
      <c r="C59" s="68"/>
      <c r="D59" s="68"/>
      <c r="E59" s="68"/>
      <c r="F59" s="68"/>
      <c r="G59" s="68"/>
      <c r="H59" s="68"/>
      <c r="I59" s="68"/>
      <c r="J59" s="6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3.2">
      <c r="A60" s="1"/>
      <c r="B60" s="1" t="s">
        <v>59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5" ht="13.2">
      <c r="A61" s="1"/>
      <c r="B61" s="24" t="s">
        <v>3</v>
      </c>
      <c r="C61" s="25" t="s">
        <v>30</v>
      </c>
      <c r="D61" s="48" t="s">
        <v>31</v>
      </c>
      <c r="E61" s="26" t="s">
        <v>60</v>
      </c>
      <c r="F61" s="4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5" ht="13.2">
      <c r="A62" s="1"/>
      <c r="B62" s="17" t="s">
        <v>6</v>
      </c>
      <c r="C62" s="19">
        <v>0</v>
      </c>
      <c r="D62" s="50">
        <v>0</v>
      </c>
      <c r="E62" s="18">
        <f t="shared" ref="E62:E67" si="0">IFERROR(#REF!/#REF!,)</f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5" ht="13.2">
      <c r="A63" s="1"/>
      <c r="B63" s="17" t="s">
        <v>8</v>
      </c>
      <c r="C63" s="19">
        <v>0</v>
      </c>
      <c r="D63" s="50">
        <v>0</v>
      </c>
      <c r="E63" s="18">
        <f t="shared" si="0"/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5" ht="13.2">
      <c r="A64" s="1"/>
      <c r="B64" s="17" t="s">
        <v>9</v>
      </c>
      <c r="C64" s="19">
        <v>0</v>
      </c>
      <c r="D64" s="50">
        <v>0</v>
      </c>
      <c r="E64" s="18">
        <f t="shared" si="0"/>
        <v>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5" ht="13.2">
      <c r="A65" s="1"/>
      <c r="B65" s="17" t="s">
        <v>10</v>
      </c>
      <c r="C65" s="19">
        <v>0</v>
      </c>
      <c r="D65" s="50">
        <v>0</v>
      </c>
      <c r="E65" s="18">
        <f t="shared" si="0"/>
        <v>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5" ht="13.2">
      <c r="A66" s="1"/>
      <c r="B66" s="17" t="s">
        <v>11</v>
      </c>
      <c r="C66" s="19">
        <v>0</v>
      </c>
      <c r="D66" s="50">
        <v>0</v>
      </c>
      <c r="E66" s="18">
        <f t="shared" si="0"/>
        <v>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5" ht="13.2">
      <c r="A67" s="1"/>
      <c r="B67" s="17" t="s">
        <v>12</v>
      </c>
      <c r="C67" s="19">
        <v>0</v>
      </c>
      <c r="D67" s="50">
        <v>0</v>
      </c>
      <c r="E67" s="18">
        <f t="shared" si="0"/>
        <v>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5" ht="13.2">
      <c r="A68" s="1"/>
      <c r="B68" s="17" t="s">
        <v>13</v>
      </c>
      <c r="C68" s="19">
        <v>0</v>
      </c>
      <c r="D68" s="50">
        <v>0</v>
      </c>
      <c r="E68" s="18">
        <v>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5" ht="13.2">
      <c r="A69" s="1"/>
      <c r="B69" s="17" t="s">
        <v>14</v>
      </c>
      <c r="C69" s="19">
        <v>0</v>
      </c>
      <c r="D69" s="50">
        <v>0</v>
      </c>
      <c r="E69" s="18">
        <v>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5" ht="13.2">
      <c r="A70" s="1"/>
      <c r="B70" s="17" t="s">
        <v>15</v>
      </c>
      <c r="C70" s="34"/>
      <c r="D70" s="51"/>
      <c r="E70" s="3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5" ht="13.2">
      <c r="A71" s="1"/>
      <c r="B71" s="17" t="s">
        <v>16</v>
      </c>
      <c r="C71" s="34"/>
      <c r="D71" s="51"/>
      <c r="E71" s="3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5" ht="13.2">
      <c r="A72" s="1"/>
      <c r="B72" s="17" t="s">
        <v>17</v>
      </c>
      <c r="C72" s="34"/>
      <c r="D72" s="51"/>
      <c r="E72" s="3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5" ht="13.2">
      <c r="A73" s="1"/>
      <c r="B73" s="20" t="s">
        <v>18</v>
      </c>
      <c r="C73" s="36"/>
      <c r="D73" s="52"/>
      <c r="E73" s="3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5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2">
      <c r="A75" s="1"/>
      <c r="B75" s="67" t="s">
        <v>32</v>
      </c>
      <c r="C75" s="68"/>
      <c r="D75" s="68"/>
      <c r="E75" s="68"/>
      <c r="F75" s="68"/>
      <c r="G75" s="68"/>
      <c r="H75" s="68"/>
      <c r="I75" s="68"/>
      <c r="J75" s="69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2">
      <c r="A77" s="1"/>
      <c r="B77" s="38" t="s">
        <v>3</v>
      </c>
      <c r="C77" s="26" t="s">
        <v>33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>
      <c r="A78" s="1"/>
      <c r="B78" s="17" t="s">
        <v>6</v>
      </c>
      <c r="C78" s="18">
        <v>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2">
      <c r="A79" s="1"/>
      <c r="B79" s="17" t="s">
        <v>8</v>
      </c>
      <c r="C79" s="18">
        <v>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>
      <c r="A80" s="1"/>
      <c r="B80" s="17" t="s">
        <v>9</v>
      </c>
      <c r="C80" s="18">
        <v>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>
      <c r="A81" s="1"/>
      <c r="B81" s="17" t="s">
        <v>10</v>
      </c>
      <c r="C81" s="18">
        <v>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>
      <c r="A82" s="1"/>
      <c r="B82" s="17" t="s">
        <v>11</v>
      </c>
      <c r="C82" s="18">
        <v>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>
      <c r="A83" s="1"/>
      <c r="B83" s="17" t="s">
        <v>12</v>
      </c>
      <c r="C83" s="18">
        <v>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>
      <c r="A84" s="1"/>
      <c r="B84" s="17" t="s">
        <v>13</v>
      </c>
      <c r="C84" s="18">
        <v>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2">
      <c r="A85" s="1"/>
      <c r="B85" s="17" t="s">
        <v>14</v>
      </c>
      <c r="C85" s="18">
        <v>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>
      <c r="A86" s="1"/>
      <c r="B86" s="17" t="s">
        <v>15</v>
      </c>
      <c r="C86" s="3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2">
      <c r="A87" s="1"/>
      <c r="B87" s="17" t="s">
        <v>16</v>
      </c>
      <c r="C87" s="3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2">
      <c r="A88" s="1"/>
      <c r="B88" s="17" t="s">
        <v>17</v>
      </c>
      <c r="C88" s="3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2">
      <c r="A89" s="1"/>
      <c r="B89" s="20" t="s">
        <v>18</v>
      </c>
      <c r="C89" s="3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7.399999999999999">
      <c r="A91" s="1"/>
      <c r="B91" s="61" t="s">
        <v>34</v>
      </c>
      <c r="C91" s="62"/>
      <c r="D91" s="62"/>
      <c r="E91" s="62"/>
      <c r="F91" s="62"/>
      <c r="G91" s="62"/>
      <c r="H91" s="62"/>
      <c r="I91" s="62"/>
      <c r="J91" s="6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3.2">
      <c r="A92" s="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3.2">
      <c r="A93" s="1"/>
      <c r="B93" s="67" t="s">
        <v>35</v>
      </c>
      <c r="C93" s="68"/>
      <c r="D93" s="68"/>
      <c r="E93" s="68"/>
      <c r="F93" s="68"/>
      <c r="G93" s="68"/>
      <c r="H93" s="68"/>
      <c r="I93" s="68"/>
      <c r="J93" s="69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>
      <c r="A95" s="1"/>
      <c r="B95" s="39" t="s">
        <v>3</v>
      </c>
      <c r="C95" s="40" t="s">
        <v>36</v>
      </c>
      <c r="D95" s="41" t="s">
        <v>37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>
      <c r="A96" s="1"/>
      <c r="B96" s="70" t="s">
        <v>6</v>
      </c>
      <c r="C96" s="42" t="s">
        <v>38</v>
      </c>
      <c r="D96" s="4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>
      <c r="A97" s="1"/>
      <c r="B97" s="64"/>
      <c r="C97" s="34" t="s">
        <v>39</v>
      </c>
      <c r="D97" s="1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>
      <c r="A98" s="1"/>
      <c r="B98" s="65"/>
      <c r="C98" s="34" t="s">
        <v>40</v>
      </c>
      <c r="D98" s="1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>
      <c r="A99" s="1"/>
      <c r="B99" s="63" t="s">
        <v>8</v>
      </c>
      <c r="C99" s="34" t="s">
        <v>38</v>
      </c>
      <c r="D99" s="1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>
      <c r="A100" s="1"/>
      <c r="B100" s="64"/>
      <c r="C100" s="34" t="s">
        <v>39</v>
      </c>
      <c r="D100" s="1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>
      <c r="A101" s="1"/>
      <c r="B101" s="65"/>
      <c r="C101" s="34" t="s">
        <v>40</v>
      </c>
      <c r="D101" s="1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>
      <c r="A102" s="1"/>
      <c r="B102" s="63" t="s">
        <v>9</v>
      </c>
      <c r="C102" s="34" t="s">
        <v>38</v>
      </c>
      <c r="D102" s="1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>
      <c r="A103" s="1"/>
      <c r="B103" s="64"/>
      <c r="C103" s="34" t="s">
        <v>39</v>
      </c>
      <c r="D103" s="1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>
      <c r="A104" s="1"/>
      <c r="B104" s="65"/>
      <c r="C104" s="34" t="s">
        <v>40</v>
      </c>
      <c r="D104" s="1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>
      <c r="A105" s="1"/>
      <c r="B105" s="63" t="s">
        <v>10</v>
      </c>
      <c r="C105" s="34" t="s">
        <v>38</v>
      </c>
      <c r="D105" s="1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>
      <c r="A106" s="1"/>
      <c r="B106" s="64"/>
      <c r="C106" s="34" t="s">
        <v>39</v>
      </c>
      <c r="D106" s="1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>
      <c r="A107" s="1"/>
      <c r="B107" s="65"/>
      <c r="C107" s="34" t="s">
        <v>40</v>
      </c>
      <c r="D107" s="1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>
      <c r="A108" s="1"/>
      <c r="B108" s="63" t="s">
        <v>11</v>
      </c>
      <c r="C108" s="34" t="s">
        <v>38</v>
      </c>
      <c r="D108" s="1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>
      <c r="A109" s="1"/>
      <c r="B109" s="64"/>
      <c r="C109" s="34" t="s">
        <v>39</v>
      </c>
      <c r="D109" s="1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>
      <c r="A110" s="1"/>
      <c r="B110" s="65"/>
      <c r="C110" s="34" t="s">
        <v>40</v>
      </c>
      <c r="D110" s="1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>
      <c r="A111" s="1"/>
      <c r="B111" s="63" t="s">
        <v>12</v>
      </c>
      <c r="C111" s="34" t="s">
        <v>38</v>
      </c>
      <c r="D111" s="1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>
      <c r="A112" s="1"/>
      <c r="B112" s="64"/>
      <c r="C112" s="34" t="s">
        <v>39</v>
      </c>
      <c r="D112" s="1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>
      <c r="A113" s="1"/>
      <c r="B113" s="65"/>
      <c r="C113" s="34" t="s">
        <v>40</v>
      </c>
      <c r="D113" s="1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>
      <c r="A114" s="1"/>
      <c r="B114" s="63" t="s">
        <v>13</v>
      </c>
      <c r="C114" s="34" t="s">
        <v>38</v>
      </c>
      <c r="D114" s="1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>
      <c r="A115" s="1"/>
      <c r="B115" s="64"/>
      <c r="C115" s="34" t="s">
        <v>39</v>
      </c>
      <c r="D115" s="1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>
      <c r="A116" s="1"/>
      <c r="B116" s="65"/>
      <c r="C116" s="34" t="s">
        <v>40</v>
      </c>
      <c r="D116" s="1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>
      <c r="A117" s="1"/>
      <c r="B117" s="63" t="s">
        <v>41</v>
      </c>
      <c r="C117" s="34" t="s">
        <v>38</v>
      </c>
      <c r="D117" s="1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>
      <c r="A118" s="1"/>
      <c r="B118" s="64"/>
      <c r="C118" s="34" t="s">
        <v>39</v>
      </c>
      <c r="D118" s="1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>
      <c r="A119" s="1"/>
      <c r="B119" s="65"/>
      <c r="C119" s="34" t="s">
        <v>40</v>
      </c>
      <c r="D119" s="1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>
      <c r="A120" s="1"/>
      <c r="B120" s="63" t="s">
        <v>42</v>
      </c>
      <c r="C120" s="34" t="s">
        <v>38</v>
      </c>
      <c r="D120" s="1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>
      <c r="A121" s="1"/>
      <c r="B121" s="64"/>
      <c r="C121" s="34" t="s">
        <v>39</v>
      </c>
      <c r="D121" s="1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>
      <c r="A122" s="1"/>
      <c r="B122" s="65"/>
      <c r="C122" s="34" t="s">
        <v>40</v>
      </c>
      <c r="D122" s="1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>
      <c r="A123" s="1"/>
      <c r="B123" s="63" t="s">
        <v>43</v>
      </c>
      <c r="C123" s="34" t="s">
        <v>38</v>
      </c>
      <c r="D123" s="1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>
      <c r="A124" s="1"/>
      <c r="B124" s="64"/>
      <c r="C124" s="34" t="s">
        <v>39</v>
      </c>
      <c r="D124" s="1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>
      <c r="A125" s="1"/>
      <c r="B125" s="65"/>
      <c r="C125" s="34" t="s">
        <v>40</v>
      </c>
      <c r="D125" s="1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>
      <c r="A126" s="1"/>
      <c r="B126" s="63" t="s">
        <v>44</v>
      </c>
      <c r="C126" s="34" t="s">
        <v>38</v>
      </c>
      <c r="D126" s="1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>
      <c r="A127" s="1"/>
      <c r="B127" s="64"/>
      <c r="C127" s="34" t="s">
        <v>39</v>
      </c>
      <c r="D127" s="1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>
      <c r="A128" s="1"/>
      <c r="B128" s="65"/>
      <c r="C128" s="34" t="s">
        <v>40</v>
      </c>
      <c r="D128" s="1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>
      <c r="A129" s="1"/>
      <c r="B129" s="63" t="s">
        <v>45</v>
      </c>
      <c r="C129" s="34" t="s">
        <v>38</v>
      </c>
      <c r="D129" s="18"/>
      <c r="E129" s="1"/>
      <c r="F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>
      <c r="A130" s="1"/>
      <c r="B130" s="64"/>
      <c r="C130" s="34" t="s">
        <v>39</v>
      </c>
      <c r="D130" s="18"/>
      <c r="E130" s="1"/>
      <c r="F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>
      <c r="A131" s="1"/>
      <c r="B131" s="66"/>
      <c r="C131" s="36" t="s">
        <v>40</v>
      </c>
      <c r="D131" s="22"/>
    </row>
    <row r="132" spans="1:25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7.399999999999999">
      <c r="A133" s="1"/>
      <c r="B133" s="61" t="s">
        <v>46</v>
      </c>
      <c r="C133" s="62"/>
      <c r="D133" s="62"/>
      <c r="E133" s="62"/>
      <c r="F133" s="62"/>
      <c r="G133" s="62"/>
      <c r="H133" s="62"/>
      <c r="I133" s="62"/>
      <c r="J133" s="6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>
      <c r="A135" s="1"/>
      <c r="B135" s="67" t="s">
        <v>47</v>
      </c>
      <c r="C135" s="68"/>
      <c r="D135" s="68"/>
      <c r="E135" s="68"/>
      <c r="F135" s="68"/>
      <c r="G135" s="68"/>
      <c r="H135" s="68"/>
      <c r="I135" s="68"/>
      <c r="J135" s="69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5" ht="13.2">
      <c r="A137" s="1"/>
      <c r="B137" s="39" t="s">
        <v>3</v>
      </c>
      <c r="C137" s="40" t="s">
        <v>48</v>
      </c>
      <c r="D137" s="44" t="s">
        <v>49</v>
      </c>
      <c r="E137" s="41" t="s">
        <v>50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5" ht="13.2">
      <c r="A138" s="1"/>
      <c r="B138" s="17" t="s">
        <v>6</v>
      </c>
      <c r="C138" s="19"/>
      <c r="D138" s="19"/>
      <c r="E138" s="1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5" ht="13.2">
      <c r="A139" s="1"/>
      <c r="B139" s="17" t="s">
        <v>8</v>
      </c>
      <c r="C139" s="19"/>
      <c r="D139" s="19"/>
      <c r="E139" s="1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5" ht="13.2">
      <c r="A140" s="1"/>
      <c r="B140" s="17" t="s">
        <v>9</v>
      </c>
      <c r="C140" s="19"/>
      <c r="D140" s="19"/>
      <c r="E140" s="1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5" ht="13.2">
      <c r="A141" s="1"/>
      <c r="B141" s="17" t="s">
        <v>10</v>
      </c>
      <c r="C141" s="19"/>
      <c r="D141" s="19"/>
      <c r="E141" s="1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5" ht="13.2">
      <c r="A142" s="1"/>
      <c r="B142" s="17" t="s">
        <v>11</v>
      </c>
      <c r="C142" s="19"/>
      <c r="D142" s="19"/>
      <c r="E142" s="1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5" ht="13.2">
      <c r="A143" s="1"/>
      <c r="B143" s="17" t="s">
        <v>12</v>
      </c>
      <c r="C143" s="19"/>
      <c r="D143" s="19"/>
      <c r="E143" s="1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5" ht="13.2">
      <c r="A144" s="1"/>
      <c r="B144" s="17" t="s">
        <v>13</v>
      </c>
      <c r="C144" s="19"/>
      <c r="D144" s="19"/>
      <c r="E144" s="1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5" ht="13.2">
      <c r="A145" s="1"/>
      <c r="B145" s="17" t="s">
        <v>14</v>
      </c>
      <c r="C145" s="19"/>
      <c r="D145" s="19"/>
      <c r="E145" s="1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5" ht="13.2">
      <c r="A146" s="1"/>
      <c r="B146" s="17" t="s">
        <v>15</v>
      </c>
      <c r="C146" s="19"/>
      <c r="D146" s="19"/>
      <c r="E146" s="1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5" ht="13.2">
      <c r="A147" s="1"/>
      <c r="B147" s="17" t="s">
        <v>16</v>
      </c>
      <c r="C147" s="19"/>
      <c r="D147" s="19"/>
      <c r="E147" s="1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5" ht="13.2">
      <c r="A148" s="1"/>
      <c r="B148" s="17" t="s">
        <v>17</v>
      </c>
      <c r="C148" s="34"/>
      <c r="D148" s="34"/>
      <c r="E148" s="3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5" ht="13.2">
      <c r="A149" s="1"/>
      <c r="B149" s="20" t="s">
        <v>18</v>
      </c>
      <c r="C149" s="36"/>
      <c r="D149" s="36"/>
      <c r="E149" s="3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5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5" ht="17.399999999999999">
      <c r="A151" s="1"/>
      <c r="B151" s="61" t="s">
        <v>51</v>
      </c>
      <c r="C151" s="62"/>
      <c r="D151" s="62"/>
      <c r="E151" s="62"/>
      <c r="F151" s="62"/>
      <c r="G151" s="62"/>
      <c r="H151" s="62"/>
      <c r="I151" s="62"/>
      <c r="J151" s="6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>
      <c r="A153" s="1"/>
      <c r="B153" s="67" t="s">
        <v>52</v>
      </c>
      <c r="C153" s="68"/>
      <c r="D153" s="68"/>
      <c r="E153" s="68"/>
      <c r="F153" s="68"/>
      <c r="G153" s="68"/>
      <c r="H153" s="68"/>
      <c r="I153" s="68"/>
      <c r="J153" s="69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3.2">
      <c r="A154" s="1"/>
      <c r="B154" s="1"/>
      <c r="C154" s="1"/>
      <c r="D154" s="1"/>
      <c r="E154" s="1"/>
      <c r="F154" s="1" t="s">
        <v>59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5" ht="13.2">
      <c r="A155" s="1"/>
      <c r="B155" s="39" t="s">
        <v>3</v>
      </c>
      <c r="C155" s="25" t="s">
        <v>53</v>
      </c>
      <c r="D155" s="25" t="s">
        <v>54</v>
      </c>
      <c r="E155" s="25" t="s">
        <v>55</v>
      </c>
      <c r="F155" s="26" t="s">
        <v>56</v>
      </c>
      <c r="G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5" ht="13.2">
      <c r="A156" s="1"/>
      <c r="B156" s="17" t="s">
        <v>6</v>
      </c>
      <c r="C156" s="19"/>
      <c r="D156" s="19"/>
      <c r="E156" s="19" t="str">
        <f t="shared" ref="E156:E167" si="1">IFERROR((C156/D156),"")</f>
        <v/>
      </c>
      <c r="F156" s="18"/>
      <c r="G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5" ht="13.2">
      <c r="A157" s="1"/>
      <c r="B157" s="17" t="s">
        <v>8</v>
      </c>
      <c r="C157" s="19"/>
      <c r="D157" s="19"/>
      <c r="E157" s="19" t="str">
        <f t="shared" si="1"/>
        <v/>
      </c>
      <c r="F157" s="18"/>
      <c r="G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5" ht="13.2">
      <c r="A158" s="1"/>
      <c r="B158" s="17" t="s">
        <v>9</v>
      </c>
      <c r="C158" s="19"/>
      <c r="D158" s="19"/>
      <c r="E158" s="19" t="str">
        <f t="shared" si="1"/>
        <v/>
      </c>
      <c r="F158" s="18"/>
      <c r="G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5" ht="13.2">
      <c r="A159" s="1"/>
      <c r="B159" s="17" t="s">
        <v>10</v>
      </c>
      <c r="C159" s="19"/>
      <c r="D159" s="19"/>
      <c r="E159" s="19" t="str">
        <f t="shared" si="1"/>
        <v/>
      </c>
      <c r="F159" s="18"/>
      <c r="G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5" ht="13.2">
      <c r="A160" s="1"/>
      <c r="B160" s="17" t="s">
        <v>11</v>
      </c>
      <c r="C160" s="19"/>
      <c r="D160" s="19"/>
      <c r="E160" s="19" t="str">
        <f t="shared" si="1"/>
        <v/>
      </c>
      <c r="F160" s="18"/>
      <c r="G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5" ht="13.2">
      <c r="A161" s="1"/>
      <c r="B161" s="17" t="s">
        <v>12</v>
      </c>
      <c r="C161" s="19"/>
      <c r="D161" s="19"/>
      <c r="E161" s="19" t="str">
        <f t="shared" si="1"/>
        <v/>
      </c>
      <c r="F161" s="18"/>
      <c r="G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5" ht="13.2">
      <c r="A162" s="1"/>
      <c r="B162" s="17" t="s">
        <v>13</v>
      </c>
      <c r="C162" s="19"/>
      <c r="D162" s="19"/>
      <c r="E162" s="19" t="str">
        <f t="shared" si="1"/>
        <v/>
      </c>
      <c r="F162" s="18"/>
      <c r="G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5" ht="13.2">
      <c r="A163" s="1"/>
      <c r="B163" s="17" t="s">
        <v>14</v>
      </c>
      <c r="C163" s="19"/>
      <c r="D163" s="19"/>
      <c r="E163" s="19" t="str">
        <f t="shared" si="1"/>
        <v/>
      </c>
      <c r="F163" s="18"/>
      <c r="G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5" ht="13.2">
      <c r="A164" s="1"/>
      <c r="B164" s="17" t="s">
        <v>15</v>
      </c>
      <c r="C164" s="19"/>
      <c r="D164" s="19"/>
      <c r="E164" s="19" t="str">
        <f t="shared" si="1"/>
        <v/>
      </c>
      <c r="F164" s="18"/>
      <c r="G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5" ht="13.2">
      <c r="A165" s="1"/>
      <c r="B165" s="17" t="s">
        <v>16</v>
      </c>
      <c r="C165" s="19"/>
      <c r="D165" s="19"/>
      <c r="E165" s="19" t="str">
        <f t="shared" si="1"/>
        <v/>
      </c>
      <c r="F165" s="18"/>
      <c r="G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5" ht="13.2">
      <c r="A166" s="1"/>
      <c r="B166" s="17" t="s">
        <v>17</v>
      </c>
      <c r="C166" s="19"/>
      <c r="D166" s="19"/>
      <c r="E166" s="19" t="str">
        <f t="shared" si="1"/>
        <v/>
      </c>
      <c r="F166" s="18"/>
      <c r="G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5" ht="13.2">
      <c r="A167" s="1"/>
      <c r="B167" s="20" t="s">
        <v>18</v>
      </c>
      <c r="C167" s="21"/>
      <c r="D167" s="46"/>
      <c r="E167" s="21" t="str">
        <f t="shared" si="1"/>
        <v/>
      </c>
      <c r="F167" s="47"/>
      <c r="G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5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5" ht="17.399999999999999">
      <c r="A169" s="1"/>
      <c r="B169" s="61" t="s">
        <v>57</v>
      </c>
      <c r="C169" s="62"/>
      <c r="D169" s="62"/>
      <c r="E169" s="62"/>
      <c r="F169" s="62"/>
      <c r="G169" s="62"/>
      <c r="H169" s="62"/>
      <c r="I169" s="62"/>
      <c r="J169" s="6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>
      <c r="A171" s="1"/>
      <c r="B171" s="39" t="s">
        <v>3</v>
      </c>
      <c r="C171" s="41" t="s">
        <v>57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>
      <c r="A172" s="1"/>
      <c r="B172" s="11" t="s">
        <v>6</v>
      </c>
      <c r="C172" s="3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>
      <c r="A173" s="1"/>
      <c r="B173" s="11" t="s">
        <v>8</v>
      </c>
      <c r="C173" s="3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>
      <c r="A174" s="1"/>
      <c r="B174" s="11" t="s">
        <v>9</v>
      </c>
      <c r="C174" s="3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>
      <c r="A175" s="1"/>
      <c r="B175" s="11" t="s">
        <v>10</v>
      </c>
      <c r="C175" s="3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>
      <c r="A176" s="1"/>
      <c r="B176" s="11" t="s">
        <v>11</v>
      </c>
      <c r="C176" s="3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>
      <c r="A177" s="1"/>
      <c r="B177" s="11" t="s">
        <v>12</v>
      </c>
      <c r="C177" s="3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>
      <c r="A178" s="1"/>
      <c r="B178" s="11" t="s">
        <v>13</v>
      </c>
      <c r="C178" s="3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>
      <c r="A179" s="1"/>
      <c r="B179" s="11" t="s">
        <v>14</v>
      </c>
      <c r="C179" s="3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>
      <c r="A180" s="1"/>
      <c r="B180" s="11" t="s">
        <v>15</v>
      </c>
      <c r="C180" s="3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>
      <c r="A181" s="1"/>
      <c r="B181" s="11" t="s">
        <v>16</v>
      </c>
      <c r="C181" s="3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>
      <c r="A182" s="1"/>
      <c r="B182" s="11" t="s">
        <v>17</v>
      </c>
      <c r="C182" s="3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>
      <c r="A183" s="1"/>
      <c r="B183" s="14" t="s">
        <v>18</v>
      </c>
      <c r="C183" s="3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</sheetData>
  <mergeCells count="28">
    <mergeCell ref="B2:F4"/>
    <mergeCell ref="B6:J6"/>
    <mergeCell ref="B9:J9"/>
    <mergeCell ref="B11:J11"/>
    <mergeCell ref="H27:I27"/>
    <mergeCell ref="G29:G30"/>
    <mergeCell ref="B41:J41"/>
    <mergeCell ref="B59:J59"/>
    <mergeCell ref="B75:J75"/>
    <mergeCell ref="B91:J91"/>
    <mergeCell ref="B93:J93"/>
    <mergeCell ref="B96:B98"/>
    <mergeCell ref="B99:B101"/>
    <mergeCell ref="B102:B104"/>
    <mergeCell ref="B126:B128"/>
    <mergeCell ref="B169:J169"/>
    <mergeCell ref="B105:B107"/>
    <mergeCell ref="B108:B110"/>
    <mergeCell ref="B111:B113"/>
    <mergeCell ref="B114:B116"/>
    <mergeCell ref="B117:B119"/>
    <mergeCell ref="B120:B122"/>
    <mergeCell ref="B123:B125"/>
    <mergeCell ref="B129:B131"/>
    <mergeCell ref="B133:J133"/>
    <mergeCell ref="B135:J135"/>
    <mergeCell ref="B151:J151"/>
    <mergeCell ref="B153:J153"/>
  </mergeCells>
  <dataValidations count="1">
    <dataValidation type="list" allowBlank="1" showErrorMessage="1" sqref="G15 G29" xr:uid="{00000000-0002-0000-0800-000000000000}">
      <formula1>"enero,febrero,marzo,abril,mayo,junio,julio,agosto,septiembre,octubre,noviembre,diciembre"</formula1>
    </dataValidation>
  </dataValidations>
  <pageMargins left="0" right="0" top="0" bottom="0" header="0" footer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baseColWidth="10" defaultColWidth="12.5546875" defaultRowHeight="15.75" customHeight="1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5"/>
  <sheetViews>
    <sheetView workbookViewId="0"/>
  </sheetViews>
  <sheetFormatPr baseColWidth="10" defaultColWidth="12.5546875" defaultRowHeight="15.75" customHeight="1"/>
  <cols>
    <col min="2" max="2" width="22.44140625" customWidth="1"/>
    <col min="3" max="3" width="21.5546875" customWidth="1"/>
    <col min="4" max="4" width="12.21875" customWidth="1"/>
  </cols>
  <sheetData>
    <row r="1" spans="1:16" ht="13.2">
      <c r="A1" s="53" t="s">
        <v>70</v>
      </c>
      <c r="E1" s="77">
        <v>2026</v>
      </c>
      <c r="F1" s="78"/>
      <c r="G1" s="78"/>
      <c r="H1" s="78"/>
      <c r="I1" s="78"/>
      <c r="J1" s="78"/>
      <c r="K1" s="78"/>
      <c r="L1" s="78"/>
      <c r="M1" s="78"/>
      <c r="N1" s="78"/>
      <c r="O1" s="78"/>
      <c r="P1" s="76"/>
    </row>
    <row r="2" spans="1:16" ht="15.75" customHeight="1">
      <c r="E2" s="54" t="s">
        <v>6</v>
      </c>
      <c r="F2" s="54" t="s">
        <v>8</v>
      </c>
      <c r="G2" s="54" t="s">
        <v>9</v>
      </c>
      <c r="H2" s="54" t="s">
        <v>10</v>
      </c>
      <c r="I2" s="54" t="s">
        <v>11</v>
      </c>
      <c r="J2" s="54" t="s">
        <v>12</v>
      </c>
      <c r="K2" s="54" t="s">
        <v>13</v>
      </c>
      <c r="L2" s="54" t="s">
        <v>14</v>
      </c>
      <c r="M2" s="54" t="s">
        <v>15</v>
      </c>
      <c r="N2" s="54" t="s">
        <v>16</v>
      </c>
      <c r="O2" s="54" t="s">
        <v>17</v>
      </c>
      <c r="P2" s="54" t="s">
        <v>18</v>
      </c>
    </row>
    <row r="3" spans="1:16" ht="15.75" customHeight="1">
      <c r="A3" s="53" t="s">
        <v>71</v>
      </c>
      <c r="B3" s="53" t="s">
        <v>72</v>
      </c>
      <c r="C3" s="53" t="s">
        <v>73</v>
      </c>
      <c r="D3" s="53" t="s">
        <v>74</v>
      </c>
    </row>
    <row r="4" spans="1:16" ht="15.75" customHeight="1">
      <c r="A4" s="53" t="s">
        <v>1</v>
      </c>
      <c r="B4" s="53" t="s">
        <v>75</v>
      </c>
      <c r="C4" s="53" t="s">
        <v>76</v>
      </c>
      <c r="D4" s="53" t="s">
        <v>77</v>
      </c>
    </row>
    <row r="5" spans="1:16" ht="15.75" customHeight="1">
      <c r="A5" s="53" t="s">
        <v>1</v>
      </c>
      <c r="B5" s="53" t="s">
        <v>75</v>
      </c>
      <c r="C5" s="53" t="s">
        <v>76</v>
      </c>
      <c r="D5" s="53" t="s">
        <v>77</v>
      </c>
    </row>
  </sheetData>
  <mergeCells count="1">
    <mergeCell ref="E1:P1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43e0a-8dfb-44dd-a226-074a99bad5ba">
      <Terms xmlns="http://schemas.microsoft.com/office/infopath/2007/PartnerControls"/>
    </lcf76f155ced4ddcb4097134ff3c332f>
    <TaxCatchAll xmlns="fdd74212-34fd-4b19-8fcc-d89327ffd2c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4FB448B2F0D2498EDFBE7BF519923C" ma:contentTypeVersion="17" ma:contentTypeDescription="Crear nuevo documento." ma:contentTypeScope="" ma:versionID="89584fd9a70b5ed289128d44b77b73ca">
  <xsd:schema xmlns:xsd="http://www.w3.org/2001/XMLSchema" xmlns:xs="http://www.w3.org/2001/XMLSchema" xmlns:p="http://schemas.microsoft.com/office/2006/metadata/properties" xmlns:ns2="c9e43e0a-8dfb-44dd-a226-074a99bad5ba" xmlns:ns3="fdd74212-34fd-4b19-8fcc-d89327ffd2c4" targetNamespace="http://schemas.microsoft.com/office/2006/metadata/properties" ma:root="true" ma:fieldsID="933d6bd34f7c1723cd9d6ec6df009e96" ns2:_="" ns3:_="">
    <xsd:import namespace="c9e43e0a-8dfb-44dd-a226-074a99bad5ba"/>
    <xsd:import namespace="fdd74212-34fd-4b19-8fcc-d89327ffd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43e0a-8dfb-44dd-a226-074a99bad5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4e88139-0ff0-4eaf-ba48-323fc10462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74212-34fd-4b19-8fcc-d89327ffd2c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9541cd4-94c3-463d-a2f5-c603da067b6b}" ma:internalName="TaxCatchAll" ma:showField="CatchAllData" ma:web="fdd74212-34fd-4b19-8fcc-d89327ffd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977258-6175-4609-A5D9-4F99620B24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CEA231-9F08-4FF8-B353-3922CDE3A9CD}">
  <ds:schemaRefs>
    <ds:schemaRef ds:uri="fdd74212-34fd-4b19-8fcc-d89327ffd2c4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c9e43e0a-8dfb-44dd-a226-074a99bad5ba"/>
  </ds:schemaRefs>
</ds:datastoreItem>
</file>

<file path=customXml/itemProps3.xml><?xml version="1.0" encoding="utf-8"?>
<ds:datastoreItem xmlns:ds="http://schemas.openxmlformats.org/officeDocument/2006/customXml" ds:itemID="{251D105E-9085-4271-92D0-623B3ADBB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e43e0a-8dfb-44dd-a226-074a99bad5ba"/>
    <ds:schemaRef ds:uri="fdd74212-34fd-4b19-8fcc-d89327ffd2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Confi | Colombia</vt:lpstr>
      <vt:lpstr>Hoja 3</vt:lpstr>
      <vt:lpstr>Hoja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Guillermo Oviedo Ochoa</cp:lastModifiedBy>
  <cp:revision/>
  <dcterms:created xsi:type="dcterms:W3CDTF">2026-03-31T14:46:10Z</dcterms:created>
  <dcterms:modified xsi:type="dcterms:W3CDTF">2026-09-14T13:00:43Z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0x010100074FB448B2F0D2498EDFBE7BF519923C</vt:lpwstr>
  </property>
  <property fmtid="{D5CDD505-2E9C-101B-9397-08002B2CF9AE}" pid="3" name="MediaServiceImageTags">
    <vt:lpwstr/>
  </property>
</Properties>
</file>